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Ejemplo" sheetId="2" state="visible" r:id="rId2"/>
    <sheet name="Lista de compras" sheetId="3" state="visible" r:id="rId3"/>
    <sheet name="Menú" sheetId="4" state="visible" r:id="rId4"/>
    <sheet name="Pedi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FF4F8B"/>
      </patternFill>
    </fill>
    <fill>
      <patternFill patternType="solid">
        <fgColor rgb="005C2E1F"/>
      </patternFill>
    </fill>
    <fill>
      <patternFill patternType="solid">
        <fgColor rgb="00FF7A1A"/>
      </patternFill>
    </fill>
  </fills>
  <borders count="2">
    <border>
      <left/>
      <right/>
      <top/>
      <bottom/>
      <diagonal/>
    </border>
    <border>
      <left style="thin">
        <color rgb="00E8DFD6"/>
      </left>
      <right style="thin">
        <color rgb="00E8DFD6"/>
      </right>
      <top style="thin">
        <color rgb="00E8DFD6"/>
      </top>
      <bottom style="thin">
        <color rgb="00E8DF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wrapText="1"/>
    </xf>
    <xf numFmtId="0" fontId="0" fillId="0" borderId="1" pivotButton="0" quotePrefix="0" xfId="0"/>
    <xf numFmtId="164" fontId="0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8" customHeight="1">
      <c r="A1" s="1" t="inlineStr">
        <is>
          <t>Calculadora de Precios — Paletas de WhatsApp</t>
        </is>
      </c>
    </row>
    <row r="2">
      <c r="A2" t="inlineStr">
        <is>
          <t>Nombre de la receta:</t>
        </is>
      </c>
      <c r="B2" s="2" t="inlineStr">
        <is>
          <t>Paleta de fresa cremosa</t>
        </is>
      </c>
    </row>
    <row r="3">
      <c r="A3" s="3" t="inlineStr">
        <is>
          <t>Ingrediente</t>
        </is>
      </c>
      <c r="B3" s="3" t="inlineStr">
        <is>
          <t>Costo del paquete</t>
        </is>
      </c>
      <c r="C3" s="3" t="inlineStr">
        <is>
          <t>Cantidad total del paquete</t>
        </is>
      </c>
      <c r="D3" s="3" t="inlineStr">
        <is>
          <t>Cantidad usada</t>
        </is>
      </c>
      <c r="E3" s="3" t="inlineStr">
        <is>
          <t>Costo usado</t>
        </is>
      </c>
      <c r="F3" s="3" t="inlineStr">
        <is>
          <t>Empaque/unidad</t>
        </is>
      </c>
      <c r="G3" s="3" t="inlineStr">
        <is>
          <t>Otros costos</t>
        </is>
      </c>
    </row>
    <row r="4">
      <c r="A4" s="4" t="n"/>
      <c r="B4" s="4" t="n"/>
      <c r="C4" s="4" t="n"/>
      <c r="D4" s="4" t="n"/>
      <c r="E4" s="4">
        <f>IF(D4*C4=0,0,B4/C4*D4)</f>
        <v/>
      </c>
      <c r="F4" s="4" t="n">
        <v>0.15</v>
      </c>
      <c r="G4" s="4" t="n"/>
    </row>
    <row r="5">
      <c r="A5" s="4" t="n"/>
      <c r="B5" s="4" t="n"/>
      <c r="C5" s="4" t="n"/>
      <c r="D5" s="4" t="n"/>
      <c r="E5" s="4">
        <f>IF(D5*C5=0,0,B5/C5*D5)</f>
        <v/>
      </c>
      <c r="F5" s="4" t="inlineStr"/>
      <c r="G5" s="4" t="n"/>
    </row>
    <row r="6">
      <c r="A6" s="4" t="n"/>
      <c r="B6" s="4" t="n"/>
      <c r="C6" s="4" t="n"/>
      <c r="D6" s="4" t="n"/>
      <c r="E6" s="4">
        <f>IF(D6*C6=0,0,B6/C6*D6)</f>
        <v/>
      </c>
      <c r="F6" s="4" t="inlineStr"/>
      <c r="G6" s="4" t="n"/>
    </row>
    <row r="7">
      <c r="A7" s="4" t="n"/>
      <c r="B7" s="4" t="n"/>
      <c r="C7" s="4" t="n"/>
      <c r="D7" s="4" t="n"/>
      <c r="E7" s="4">
        <f>IF(D7*C7=0,0,B7/C7*D7)</f>
        <v/>
      </c>
      <c r="F7" s="4" t="inlineStr"/>
      <c r="G7" s="4" t="n"/>
    </row>
    <row r="8">
      <c r="A8" s="4" t="n"/>
      <c r="B8" s="4" t="n"/>
      <c r="C8" s="4" t="n"/>
      <c r="D8" s="4" t="n"/>
      <c r="E8" s="4">
        <f>IF(D8*C8=0,0,B8/C8*D8)</f>
        <v/>
      </c>
      <c r="F8" s="4" t="inlineStr"/>
      <c r="G8" s="4" t="n"/>
    </row>
    <row r="9">
      <c r="A9" s="4" t="n"/>
      <c r="B9" s="4" t="n"/>
      <c r="C9" s="4" t="n"/>
      <c r="D9" s="4" t="n"/>
      <c r="E9" s="4">
        <f>IF(D9*C9=0,0,B9/C9*D9)</f>
        <v/>
      </c>
      <c r="F9" s="4" t="inlineStr"/>
      <c r="G9" s="4" t="n"/>
    </row>
    <row r="10">
      <c r="A10" s="4" t="n"/>
      <c r="B10" s="4" t="n"/>
      <c r="C10" s="4" t="n"/>
      <c r="D10" s="4" t="n"/>
      <c r="E10" s="4">
        <f>IF(D10*C10=0,0,B10/C10*D10)</f>
        <v/>
      </c>
      <c r="F10" s="4" t="inlineStr"/>
      <c r="G10" s="4" t="n"/>
    </row>
    <row r="11">
      <c r="A11" s="4" t="n"/>
      <c r="B11" s="4" t="n"/>
      <c r="C11" s="4" t="n"/>
      <c r="D11" s="4" t="n"/>
      <c r="E11" s="4">
        <f>IF(D11*C11=0,0,B11/C11*D11)</f>
        <v/>
      </c>
      <c r="F11" s="4" t="inlineStr"/>
      <c r="G11" s="4" t="n"/>
    </row>
    <row r="12">
      <c r="A12" s="4" t="n"/>
      <c r="B12" s="4" t="n"/>
      <c r="C12" s="4" t="n"/>
      <c r="D12" s="4" t="n"/>
      <c r="E12" s="4">
        <f>IF(D12*C12=0,0,B12/C12*D12)</f>
        <v/>
      </c>
      <c r="F12" s="4" t="inlineStr"/>
      <c r="G12" s="4" t="n"/>
    </row>
    <row r="13">
      <c r="A13" s="4" t="n"/>
      <c r="B13" s="4" t="n"/>
      <c r="C13" s="4" t="n"/>
      <c r="D13" s="4" t="n"/>
      <c r="E13" s="4">
        <f>IF(D13*C13=0,0,B13/C13*D13)</f>
        <v/>
      </c>
      <c r="F13" s="4" t="inlineStr"/>
      <c r="G13" s="4" t="n"/>
    </row>
    <row r="15">
      <c r="A15" s="2" t="inlineStr">
        <is>
          <t>Cantidad de paletas producidas:</t>
        </is>
      </c>
      <c r="B15" t="n">
        <v>8</v>
      </c>
    </row>
    <row r="16">
      <c r="A16" s="2" t="inlineStr">
        <is>
          <t>Costo total:</t>
        </is>
      </c>
      <c r="B16" s="5">
        <f>SUM(E4:E13)+SUM(F4:F13)+SUM(G4:G13)</f>
        <v/>
      </c>
    </row>
    <row r="17">
      <c r="A17" s="2" t="inlineStr">
        <is>
          <t>Costo por paleta:</t>
        </is>
      </c>
      <c r="B17" s="5">
        <f>IF(B15=0,0,B16/B15)</f>
        <v/>
      </c>
    </row>
    <row r="18">
      <c r="A18" s="2" t="inlineStr">
        <is>
          <t>Margen deseado %:</t>
        </is>
      </c>
      <c r="B18" t="n">
        <v>40</v>
      </c>
    </row>
    <row r="19">
      <c r="A19" s="2" t="inlineStr">
        <is>
          <t>Precio sugerido:</t>
        </is>
      </c>
      <c r="B19" s="5">
        <f>IF(B18&gt;=100,0,B17/(1-B18/100))</f>
        <v/>
      </c>
    </row>
    <row r="20">
      <c r="A20" s="2" t="inlineStr">
        <is>
          <t>Ganancia estimada por unidad:</t>
        </is>
      </c>
      <c r="B20" s="5">
        <f>B19-B17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 ht="28" customHeight="1">
      <c r="A1" s="6" t="inlineStr">
        <is>
          <t>Ejemplo ilustrativo — Paleta de fresa cremosa</t>
        </is>
      </c>
    </row>
    <row r="3">
      <c r="A3" t="inlineStr">
        <is>
          <t>⚠️ Ejemplo ilustrativo. Ajusta con tus costos reales.</t>
        </is>
      </c>
    </row>
    <row r="5">
      <c r="A5" s="7" t="inlineStr">
        <is>
          <t>Ingrediente</t>
        </is>
      </c>
      <c r="B5" s="7" t="inlineStr">
        <is>
          <t>Costo paquete</t>
        </is>
      </c>
      <c r="C5" s="7" t="inlineStr">
        <is>
          <t>Cant. total</t>
        </is>
      </c>
      <c r="D5" s="7" t="inlineStr">
        <is>
          <t>Cant. usada</t>
        </is>
      </c>
      <c r="E5" s="7" t="inlineStr">
        <is>
          <t>Costo usado</t>
        </is>
      </c>
    </row>
    <row r="6">
      <c r="A6" t="inlineStr">
        <is>
          <t>Fresas</t>
        </is>
      </c>
      <c r="B6" t="n">
        <v>3.5</v>
      </c>
      <c r="C6" t="n">
        <v>500</v>
      </c>
      <c r="D6" t="n">
        <v>200</v>
      </c>
      <c r="E6">
        <f>B6/C6*D6</f>
        <v/>
      </c>
    </row>
    <row r="7">
      <c r="A7" t="inlineStr">
        <is>
          <t>Leche</t>
        </is>
      </c>
      <c r="B7" t="n">
        <v>1.2</v>
      </c>
      <c r="C7" t="n">
        <v>1000</v>
      </c>
      <c r="D7" t="n">
        <v>250</v>
      </c>
      <c r="E7">
        <f>B7/C7*D7</f>
        <v/>
      </c>
    </row>
    <row r="8">
      <c r="A8" t="inlineStr">
        <is>
          <t>Crema</t>
        </is>
      </c>
      <c r="B8" t="n">
        <v>2</v>
      </c>
      <c r="C8" t="n">
        <v>200</v>
      </c>
      <c r="D8" t="n">
        <v>100</v>
      </c>
      <c r="E8">
        <f>B8/C8*D8</f>
        <v/>
      </c>
    </row>
    <row r="9">
      <c r="A9" t="inlineStr">
        <is>
          <t>Azúcar</t>
        </is>
      </c>
      <c r="B9" t="n">
        <v>1.5</v>
      </c>
      <c r="C9" t="n">
        <v>1000</v>
      </c>
      <c r="D9" t="n">
        <v>30</v>
      </c>
      <c r="E9">
        <f>B9/C9*D9</f>
        <v/>
      </c>
    </row>
    <row r="10">
      <c r="A10" t="inlineStr">
        <is>
          <t>Vainilla</t>
        </is>
      </c>
      <c r="B10" t="n">
        <v>2</v>
      </c>
      <c r="C10" t="n">
        <v>100</v>
      </c>
      <c r="D10" t="n">
        <v>5</v>
      </c>
      <c r="E10">
        <f>B10/C10*D10</f>
        <v/>
      </c>
    </row>
    <row r="11">
      <c r="A11" t="inlineStr">
        <is>
          <t>Empaque</t>
        </is>
      </c>
      <c r="B11" t="n">
        <v>0.15</v>
      </c>
      <c r="C11" t="n">
        <v>1</v>
      </c>
      <c r="D11" t="n">
        <v>1</v>
      </c>
      <c r="E11">
        <f>B11/C11*D11</f>
        <v/>
      </c>
    </row>
    <row r="12">
      <c r="A12" t="inlineStr">
        <is>
          <t>Palito</t>
        </is>
      </c>
      <c r="B12" t="n">
        <v>0.05</v>
      </c>
      <c r="C12" t="n">
        <v>1</v>
      </c>
      <c r="D12" t="n">
        <v>1</v>
      </c>
      <c r="E12">
        <f>B12/C12*D12</f>
        <v/>
      </c>
    </row>
    <row r="14">
      <c r="A14" t="inlineStr">
        <is>
          <t>Paletas producidas:</t>
        </is>
      </c>
      <c r="B14" t="n">
        <v>8</v>
      </c>
    </row>
    <row r="15">
      <c r="A15" t="inlineStr">
        <is>
          <t>Costo total:</t>
        </is>
      </c>
      <c r="B15">
        <f>SUM(E6:E12)</f>
        <v/>
      </c>
    </row>
    <row r="16">
      <c r="A16" t="inlineStr">
        <is>
          <t>Costo por paleta:</t>
        </is>
      </c>
      <c r="B16">
        <f>B15/B14</f>
        <v/>
      </c>
    </row>
    <row r="17">
      <c r="A17" t="inlineStr">
        <is>
          <t>Margen 40%:</t>
        </is>
      </c>
      <c r="B17">
        <f>B16/(1-0.4)</f>
        <v/>
      </c>
    </row>
    <row r="18">
      <c r="A18" t="inlineStr">
        <is>
          <t>Ganancia/unidad:</t>
        </is>
      </c>
      <c r="B18">
        <f>B17-B16</f>
        <v/>
      </c>
    </row>
  </sheetData>
  <mergeCells count="2">
    <mergeCell ref="A3:F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Lista de Compras</t>
        </is>
      </c>
    </row>
    <row r="3">
      <c r="A3" s="7" t="inlineStr">
        <is>
          <t>Ingrediente</t>
        </is>
      </c>
      <c r="B3" s="7" t="inlineStr">
        <is>
          <t>Cantidad</t>
        </is>
      </c>
      <c r="C3" s="7" t="inlineStr">
        <is>
          <t>Proveedor</t>
        </is>
      </c>
      <c r="D3" s="7" t="inlineStr">
        <is>
          <t>Precio</t>
        </is>
      </c>
      <c r="E3" s="7" t="inlineStr">
        <is>
          <t>Observaciones</t>
        </is>
      </c>
    </row>
    <row r="4">
      <c r="A4" t="inlineStr">
        <is>
          <t>Leche</t>
        </is>
      </c>
    </row>
    <row r="5">
      <c r="A5" t="inlineStr">
        <is>
          <t>Crema</t>
        </is>
      </c>
    </row>
    <row r="6">
      <c r="A6" t="inlineStr">
        <is>
          <t>Fresas</t>
        </is>
      </c>
    </row>
    <row r="7">
      <c r="A7" t="inlineStr">
        <is>
          <t>Azúcar</t>
        </is>
      </c>
    </row>
    <row r="8">
      <c r="A8" t="inlineStr">
        <is>
          <t>Moldes</t>
        </is>
      </c>
    </row>
    <row r="9">
      <c r="A9" t="inlineStr">
        <is>
          <t>Palitos</t>
        </is>
      </c>
    </row>
    <row r="10">
      <c r="A10" t="inlineStr">
        <is>
          <t>Bolsas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Mi Menú de Paletas</t>
        </is>
      </c>
    </row>
    <row r="3">
      <c r="A3" s="7" t="inlineStr">
        <is>
          <t>Sabor</t>
        </is>
      </c>
      <c r="B3" s="7" t="inlineStr">
        <is>
          <t>Costo estimado</t>
        </is>
      </c>
      <c r="C3" s="7" t="inlineStr">
        <is>
          <t>Precio</t>
        </is>
      </c>
      <c r="D3" s="7" t="inlineStr">
        <is>
          <t>Disponible</t>
        </is>
      </c>
      <c r="E3" s="7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Control de Pedidos</t>
        </is>
      </c>
    </row>
    <row r="3">
      <c r="A3" s="7" t="inlineStr">
        <is>
          <t>Cliente</t>
        </is>
      </c>
      <c r="B3" s="7" t="inlineStr">
        <is>
          <t>Teléfono</t>
        </is>
      </c>
      <c r="C3" s="7" t="inlineStr">
        <is>
          <t>Sabor</t>
        </is>
      </c>
      <c r="D3" s="7" t="inlineStr">
        <is>
          <t>Cantidad</t>
        </is>
      </c>
      <c r="E3" s="7" t="inlineStr">
        <is>
          <t>Total</t>
        </is>
      </c>
      <c r="F3" s="7" t="inlineStr">
        <is>
          <t>Pagado</t>
        </is>
      </c>
      <c r="G3" s="7" t="inlineStr">
        <is>
          <t>Entregado</t>
        </is>
      </c>
      <c r="H3" s="7" t="inlineStr">
        <is>
          <t>Observaciones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2026-07-06T01:40:27Z</dcterms:created>
  <dcterms:modified xsi:type="dcterms:W3CDTF">2026-07-06T01:40:27Z</dcterms:modified>
</cp:coreProperties>
</file>
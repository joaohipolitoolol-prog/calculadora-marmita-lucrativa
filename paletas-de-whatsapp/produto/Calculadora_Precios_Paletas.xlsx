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" sheetId="1" state="visible" r:id="rId1"/>
    <sheet name="Sheet" sheetId="2" state="visible" r:id="rId2"/>
    <sheet name="Ejemplo" sheetId="3" state="visible" r:id="rId3"/>
    <sheet name="Lista de compras" sheetId="4" state="visible" r:id="rId4"/>
    <sheet name="Menú" sheetId="5" state="visible" r:id="rId5"/>
    <sheet name="Pedid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  <font>
      <b val="1"/>
      <i val="1"/>
    </font>
    <font>
      <i val="1"/>
      <color rgb="006B5E57"/>
      <sz val="9"/>
    </font>
  </fonts>
  <fills count="5">
    <fill>
      <patternFill/>
    </fill>
    <fill>
      <patternFill patternType="gray125"/>
    </fill>
    <fill>
      <patternFill patternType="solid">
        <fgColor rgb="00FF4F8B"/>
      </patternFill>
    </fill>
    <fill>
      <patternFill patternType="solid">
        <fgColor rgb="005C2E1F"/>
      </patternFill>
    </fill>
    <fill>
      <patternFill patternType="solid">
        <fgColor rgb="00FF7A1A"/>
      </patternFill>
    </fill>
  </fills>
  <borders count="2">
    <border>
      <left/>
      <right/>
      <top/>
      <bottom/>
      <diagonal/>
    </border>
    <border>
      <left style="thin">
        <color rgb="00E8DFD6"/>
      </left>
      <right style="thin">
        <color rgb="00E8DFD6"/>
      </right>
      <top style="thin">
        <color rgb="00E8DFD6"/>
      </top>
      <bottom style="thin">
        <color rgb="00E8DF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3" borderId="0" applyAlignment="1" pivotButton="0" quotePrefix="0" xfId="0">
      <alignment horizontal="center" wrapText="1"/>
    </xf>
    <xf numFmtId="0" fontId="0" fillId="0" borderId="1" pivotButton="0" quotePrefix="0" xfId="0"/>
    <xf numFmtId="0" fontId="4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14" customWidth="1" min="6" max="6"/>
    <col width="14" customWidth="1" min="7" max="7"/>
  </cols>
  <sheetData>
    <row r="1" ht="28" customHeight="1">
      <c r="A1" s="1" t="inlineStr">
        <is>
          <t>Calculadora de Precios — Paletas de WhatsApp</t>
        </is>
      </c>
    </row>
    <row r="2">
      <c r="A2" t="inlineStr">
        <is>
          <t>Nombre de la receta:</t>
        </is>
      </c>
      <c r="B2" s="2" t="inlineStr">
        <is>
          <t>Paleta de fresa cremosa</t>
        </is>
      </c>
    </row>
    <row r="3">
      <c r="A3" s="3" t="inlineStr">
        <is>
          <t>Ingrediente</t>
        </is>
      </c>
      <c r="B3" s="3" t="inlineStr">
        <is>
          <t>Costo del paquete</t>
        </is>
      </c>
      <c r="C3" s="3" t="inlineStr">
        <is>
          <t>Cantidad total del paquete</t>
        </is>
      </c>
      <c r="D3" s="3" t="inlineStr">
        <is>
          <t>Cantidad usada</t>
        </is>
      </c>
      <c r="E3" s="3" t="inlineStr">
        <is>
          <t>Costo usado</t>
        </is>
      </c>
    </row>
    <row r="4">
      <c r="A4" s="4" t="inlineStr">
        <is>
          <t>Fresas</t>
        </is>
      </c>
      <c r="B4" s="4" t="n">
        <v>3.5</v>
      </c>
      <c r="C4" s="4" t="n">
        <v>500</v>
      </c>
      <c r="D4" s="4" t="n">
        <v>200</v>
      </c>
      <c r="E4" s="4">
        <f>IF(OR(C4=0,D4=0),0,B4/C4*D4)</f>
        <v/>
      </c>
    </row>
    <row r="5">
      <c r="A5" s="4" t="inlineStr">
        <is>
          <t>Leche</t>
        </is>
      </c>
      <c r="B5" s="4" t="n">
        <v>1.2</v>
      </c>
      <c r="C5" s="4" t="n">
        <v>1000</v>
      </c>
      <c r="D5" s="4" t="n">
        <v>250</v>
      </c>
      <c r="E5" s="4">
        <f>IF(OR(C5=0,D5=0),0,B5/C5*D5)</f>
        <v/>
      </c>
    </row>
    <row r="6">
      <c r="A6" s="4" t="inlineStr">
        <is>
          <t>Crema</t>
        </is>
      </c>
      <c r="B6" s="4" t="n">
        <v>2</v>
      </c>
      <c r="C6" s="4" t="n">
        <v>200</v>
      </c>
      <c r="D6" s="4" t="n">
        <v>100</v>
      </c>
      <c r="E6" s="4">
        <f>IF(OR(C6=0,D6=0),0,B6/C6*D6)</f>
        <v/>
      </c>
    </row>
    <row r="7">
      <c r="A7" s="4" t="inlineStr">
        <is>
          <t>Azúcar</t>
        </is>
      </c>
      <c r="B7" s="4" t="n">
        <v>1.5</v>
      </c>
      <c r="C7" s="4" t="n">
        <v>1000</v>
      </c>
      <c r="D7" s="4" t="n">
        <v>30</v>
      </c>
      <c r="E7" s="4">
        <f>IF(OR(C7=0,D7=0),0,B7/C7*D7)</f>
        <v/>
      </c>
    </row>
    <row r="8">
      <c r="A8" s="4" t="inlineStr">
        <is>
          <t>6. Usa 'Lista de compras', 'Menú' y 'Pedidos' para organizarte.</t>
        </is>
      </c>
      <c r="B8" s="4" t="n"/>
      <c r="C8" s="4" t="n"/>
      <c r="D8" s="4" t="n"/>
      <c r="E8" s="4" t="n"/>
    </row>
    <row r="9">
      <c r="A9" s="4" t="inlineStr"/>
      <c r="B9" s="4" t="n"/>
      <c r="C9" s="4" t="n"/>
      <c r="D9" s="4" t="n"/>
      <c r="E9" s="4">
        <f>IF(OR(C9=0,D9=0),0,B9/C9*D9)</f>
        <v/>
      </c>
    </row>
    <row r="10">
      <c r="A10" s="4" t="inlineStr">
        <is>
          <t>Tip: Sube este archivo a Google Drive → clic derecho → Abrir con Hojas de cálculo.</t>
        </is>
      </c>
      <c r="B10" s="4" t="n"/>
      <c r="C10" s="4" t="n"/>
      <c r="D10" s="4" t="n"/>
      <c r="E10" s="4" t="n"/>
    </row>
    <row r="11">
      <c r="A11" s="4" t="inlineStr">
        <is>
          <t>Los números del ejemplo en 'Ejemplo' son ficticios.</t>
        </is>
      </c>
      <c r="B11" s="4" t="n"/>
      <c r="C11" s="4" t="n"/>
      <c r="D11" s="4" t="n"/>
      <c r="E11" s="4" t="n"/>
    </row>
    <row r="12">
      <c r="A12" s="4" t="n"/>
      <c r="B12" s="4" t="n"/>
      <c r="C12" s="4" t="n"/>
      <c r="D12" s="4" t="n"/>
      <c r="E12" s="4">
        <f>IF(OR(C12=0,D12=0),0,B12/C12*D12)</f>
        <v/>
      </c>
    </row>
    <row r="13">
      <c r="A13" s="4" t="n"/>
      <c r="B13" s="4" t="n"/>
      <c r="C13" s="4" t="n"/>
      <c r="D13" s="4" t="n"/>
      <c r="E13" s="4">
        <f>IF(OR(C13=0,D13=0),0,B13/C13*D13)</f>
        <v/>
      </c>
    </row>
    <row r="15">
      <c r="A15" s="5" t="inlineStr">
        <is>
          <t>— Costos fijos por tanda —</t>
        </is>
      </c>
    </row>
    <row r="16">
      <c r="A16" s="2" t="inlineStr">
        <is>
          <t>Empaque (costo por unidad):</t>
        </is>
      </c>
      <c r="B16" t="n">
        <v>0.15</v>
      </c>
    </row>
    <row r="17">
      <c r="A17" s="2" t="inlineStr">
        <is>
          <t>Palito (costo por unidad):</t>
        </is>
      </c>
      <c r="B17" t="n">
        <v>0.05</v>
      </c>
    </row>
    <row r="18">
      <c r="A18" s="2" t="inlineStr">
        <is>
          <t>Otros costos (gas, etiquetas, etc.):</t>
        </is>
      </c>
      <c r="B18" t="n">
        <v>0.5</v>
      </c>
    </row>
    <row r="19">
      <c r="A19" s="2" t="inlineStr">
        <is>
          <t>Cantidad de paletas producidas:</t>
        </is>
      </c>
      <c r="B19" t="n">
        <v>8</v>
      </c>
    </row>
    <row r="20">
      <c r="A20" s="2" t="inlineStr">
        <is>
          <t>Costo total ingredientes:</t>
        </is>
      </c>
      <c r="B20" s="6">
        <f>SUM(E4:E13)</f>
        <v/>
      </c>
    </row>
    <row r="21">
      <c r="A21" s="2" t="inlineStr">
        <is>
          <t>Costo empaques (unidad × cantidad):</t>
        </is>
      </c>
      <c r="B21" s="6">
        <f>(B16+B17)*B19+B18</f>
        <v/>
      </c>
    </row>
    <row r="22">
      <c r="A22" s="2" t="inlineStr">
        <is>
          <t>Costo total de producción:</t>
        </is>
      </c>
      <c r="B22" s="6">
        <f>B20+B21</f>
        <v/>
      </c>
    </row>
    <row r="23">
      <c r="A23" s="2" t="inlineStr">
        <is>
          <t>Costo por paleta:</t>
        </is>
      </c>
      <c r="B23" s="6">
        <f>IF(B19=0,0,B22/B19)</f>
        <v/>
      </c>
    </row>
    <row r="24">
      <c r="A24" s="2" t="inlineStr">
        <is>
          <t>Margen deseado %:</t>
        </is>
      </c>
      <c r="B24" s="6" t="n">
        <v>40</v>
      </c>
    </row>
    <row r="25">
      <c r="A25" s="2" t="inlineStr">
        <is>
          <t>Precio sugerido:</t>
        </is>
      </c>
      <c r="B25" s="6">
        <f>IF(B24&gt;=100,0,B23/(1-B24/100))</f>
        <v/>
      </c>
    </row>
    <row r="26">
      <c r="A26" s="2" t="inlineStr">
        <is>
          <t>Ganancia estimada por unidad:</t>
        </is>
      </c>
      <c r="B26" s="6">
        <f>B25-B23</f>
        <v/>
      </c>
    </row>
    <row r="28">
      <c r="A28" s="7" t="inlineStr">
        <is>
          <t>Las celdas en verde se calculan solas. Solo edita ingredientes y costos.</t>
        </is>
      </c>
    </row>
  </sheetData>
  <mergeCells count="3">
    <mergeCell ref="A1:D1"/>
    <mergeCell ref="A28:E28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 ht="28" customHeight="1">
      <c r="A1" s="8" t="inlineStr">
        <is>
          <t>Ejemplo ilustrativo — Paleta de fresa cremosa</t>
        </is>
      </c>
    </row>
    <row r="3">
      <c r="A3" t="inlineStr">
        <is>
          <t>⚠️ Ejemplo ilustrativo. Ajusta con tus costos reales.</t>
        </is>
      </c>
    </row>
    <row r="5">
      <c r="A5" s="9" t="inlineStr">
        <is>
          <t>Ingrediente</t>
        </is>
      </c>
      <c r="B5" s="9" t="inlineStr">
        <is>
          <t>Costo paquete</t>
        </is>
      </c>
      <c r="C5" s="9" t="inlineStr">
        <is>
          <t>Cant. total</t>
        </is>
      </c>
      <c r="D5" s="9" t="inlineStr">
        <is>
          <t>Cant. usada</t>
        </is>
      </c>
      <c r="E5" s="9" t="inlineStr">
        <is>
          <t>Costo usado</t>
        </is>
      </c>
    </row>
    <row r="6">
      <c r="A6" t="inlineStr">
        <is>
          <t>Fresas</t>
        </is>
      </c>
      <c r="B6" t="n">
        <v>3.5</v>
      </c>
      <c r="C6" t="n">
        <v>500</v>
      </c>
      <c r="D6" t="n">
        <v>200</v>
      </c>
      <c r="E6">
        <f>B6/C6*D6</f>
        <v/>
      </c>
    </row>
    <row r="7">
      <c r="A7" t="inlineStr">
        <is>
          <t>Leche</t>
        </is>
      </c>
      <c r="B7" t="n">
        <v>1.2</v>
      </c>
      <c r="C7" t="n">
        <v>1000</v>
      </c>
      <c r="D7" t="n">
        <v>250</v>
      </c>
      <c r="E7">
        <f>B7/C7*D7</f>
        <v/>
      </c>
    </row>
    <row r="8">
      <c r="A8" t="inlineStr">
        <is>
          <t>Crema</t>
        </is>
      </c>
      <c r="B8" t="n">
        <v>2</v>
      </c>
      <c r="C8" t="n">
        <v>200</v>
      </c>
      <c r="D8" t="n">
        <v>100</v>
      </c>
      <c r="E8">
        <f>B8/C8*D8</f>
        <v/>
      </c>
    </row>
    <row r="9">
      <c r="A9" t="inlineStr">
        <is>
          <t>Azúcar</t>
        </is>
      </c>
      <c r="B9" t="n">
        <v>1.5</v>
      </c>
      <c r="C9" t="n">
        <v>1000</v>
      </c>
      <c r="D9" t="n">
        <v>30</v>
      </c>
      <c r="E9">
        <f>B9/C9*D9</f>
        <v/>
      </c>
    </row>
    <row r="10">
      <c r="A10" t="inlineStr">
        <is>
          <t>Vainilla</t>
        </is>
      </c>
      <c r="B10" t="n">
        <v>2</v>
      </c>
      <c r="C10" t="n">
        <v>100</v>
      </c>
      <c r="D10" t="n">
        <v>5</v>
      </c>
      <c r="E10">
        <f>B10/C10*D10</f>
        <v/>
      </c>
    </row>
    <row r="11">
      <c r="A11" t="inlineStr">
        <is>
          <t>Empaque</t>
        </is>
      </c>
      <c r="B11" t="n">
        <v>0.15</v>
      </c>
      <c r="C11" t="n">
        <v>1</v>
      </c>
      <c r="D11" t="n">
        <v>1</v>
      </c>
      <c r="E11">
        <f>B11/C11*D11</f>
        <v/>
      </c>
    </row>
    <row r="12">
      <c r="A12" t="inlineStr">
        <is>
          <t>Palito</t>
        </is>
      </c>
      <c r="B12" t="n">
        <v>0.05</v>
      </c>
      <c r="C12" t="n">
        <v>1</v>
      </c>
      <c r="D12" t="n">
        <v>1</v>
      </c>
      <c r="E12">
        <f>B12/C12*D12</f>
        <v/>
      </c>
    </row>
    <row r="14">
      <c r="A14" t="inlineStr">
        <is>
          <t>Paletas producidas:</t>
        </is>
      </c>
      <c r="B14" t="n">
        <v>8</v>
      </c>
    </row>
    <row r="15">
      <c r="A15" t="inlineStr">
        <is>
          <t>Costo total:</t>
        </is>
      </c>
      <c r="B15">
        <f>SUM(E6:E12)</f>
        <v/>
      </c>
    </row>
    <row r="16">
      <c r="A16" t="inlineStr">
        <is>
          <t>Costo por paleta:</t>
        </is>
      </c>
      <c r="B16">
        <f>B15/B14</f>
        <v/>
      </c>
    </row>
    <row r="17">
      <c r="A17" t="inlineStr">
        <is>
          <t>Margen 40%:</t>
        </is>
      </c>
      <c r="B17">
        <f>B16/(1-0.4)</f>
        <v/>
      </c>
    </row>
    <row r="18">
      <c r="A18" t="inlineStr">
        <is>
          <t>Ganancia/unidad:</t>
        </is>
      </c>
      <c r="B18">
        <f>B17-B16</f>
        <v/>
      </c>
    </row>
  </sheetData>
  <mergeCells count="2">
    <mergeCell ref="A3:F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8" customHeight="1">
      <c r="A1" s="1" t="inlineStr">
        <is>
          <t>Lista de Compras</t>
        </is>
      </c>
    </row>
    <row r="3">
      <c r="A3" s="9" t="inlineStr">
        <is>
          <t>Ingrediente</t>
        </is>
      </c>
      <c r="B3" s="9" t="inlineStr">
        <is>
          <t>Cantidad</t>
        </is>
      </c>
      <c r="C3" s="9" t="inlineStr">
        <is>
          <t>Proveedor</t>
        </is>
      </c>
      <c r="D3" s="9" t="inlineStr">
        <is>
          <t>Precio</t>
        </is>
      </c>
      <c r="E3" s="9" t="inlineStr">
        <is>
          <t>Observaciones</t>
        </is>
      </c>
    </row>
    <row r="4">
      <c r="A4" t="inlineStr">
        <is>
          <t>Leche</t>
        </is>
      </c>
    </row>
    <row r="5">
      <c r="A5" t="inlineStr">
        <is>
          <t>Crema</t>
        </is>
      </c>
    </row>
    <row r="6">
      <c r="A6" t="inlineStr">
        <is>
          <t>Fresas</t>
        </is>
      </c>
    </row>
    <row r="7">
      <c r="A7" t="inlineStr">
        <is>
          <t>Azúcar</t>
        </is>
      </c>
    </row>
    <row r="8">
      <c r="A8" t="inlineStr">
        <is>
          <t>Moldes</t>
        </is>
      </c>
    </row>
    <row r="9">
      <c r="A9" t="inlineStr">
        <is>
          <t>Palitos</t>
        </is>
      </c>
    </row>
    <row r="10">
      <c r="A10" t="inlineStr">
        <is>
          <t>Bolsas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 ht="28" customHeight="1">
      <c r="A1" s="1" t="inlineStr">
        <is>
          <t>Mi Menú de Paletas</t>
        </is>
      </c>
    </row>
    <row r="3">
      <c r="A3" s="9" t="inlineStr">
        <is>
          <t>Sabor</t>
        </is>
      </c>
      <c r="B3" s="9" t="inlineStr">
        <is>
          <t>Costo estimado</t>
        </is>
      </c>
      <c r="C3" s="9" t="inlineStr">
        <is>
          <t>Precio</t>
        </is>
      </c>
      <c r="D3" s="9" t="inlineStr">
        <is>
          <t>Disponible</t>
        </is>
      </c>
      <c r="E3" s="9" t="inlineStr">
        <is>
          <t>Observaciones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Control de Pedidos</t>
        </is>
      </c>
    </row>
    <row r="3">
      <c r="A3" s="9" t="inlineStr">
        <is>
          <t>Cliente</t>
        </is>
      </c>
      <c r="B3" s="9" t="inlineStr">
        <is>
          <t>Teléfono</t>
        </is>
      </c>
      <c r="C3" s="9" t="inlineStr">
        <is>
          <t>Sabor</t>
        </is>
      </c>
      <c r="D3" s="9" t="inlineStr">
        <is>
          <t>Cantidad</t>
        </is>
      </c>
      <c r="E3" s="9" t="inlineStr">
        <is>
          <t>Total</t>
        </is>
      </c>
      <c r="F3" s="9" t="inlineStr">
        <is>
          <t>Pagado</t>
        </is>
      </c>
      <c r="G3" s="9" t="inlineStr">
        <is>
          <t>Entregado</t>
        </is>
      </c>
      <c r="H3" s="9" t="inlineStr">
        <is>
          <t>Observaciones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2026-07-06T02:06:07Z</dcterms:created>
  <dcterms:modified xsi:type="dcterms:W3CDTF">2026-07-06T02:06:07Z</dcterms:modified>
</cp:coreProperties>
</file>